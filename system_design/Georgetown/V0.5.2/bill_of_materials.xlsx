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UAV-Deployable-Stage-Height-Sensor\system_design\Georgetown\V0.5.2\"/>
    </mc:Choice>
  </mc:AlternateContent>
  <xr:revisionPtr revIDLastSave="0" documentId="13_ncr:1_{B91EA05C-203A-40B6-9D74-283D57AF09F6}" xr6:coauthVersionLast="47" xr6:coauthVersionMax="47" xr10:uidLastSave="{00000000-0000-0000-0000-000000000000}"/>
  <bookViews>
    <workbookView xWindow="28680" yWindow="-15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30" i="1"/>
  <c r="G34" i="1"/>
  <c r="G33" i="1"/>
  <c r="G37" i="1"/>
  <c r="G38" i="1"/>
  <c r="G3" i="1"/>
  <c r="G4" i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5" i="1"/>
  <c r="G36" i="1"/>
  <c r="G2" i="1"/>
  <c r="G39" i="1" l="1"/>
</calcChain>
</file>

<file path=xl/sharedStrings.xml><?xml version="1.0" encoding="utf-8"?>
<sst xmlns="http://schemas.openxmlformats.org/spreadsheetml/2006/main" count="186" uniqueCount="149">
  <si>
    <t>Arduino Nano</t>
  </si>
  <si>
    <t>NRF24L01+ 2.4GHz Wireless RF Transceiver Module</t>
  </si>
  <si>
    <t>NRF24L01+</t>
  </si>
  <si>
    <t>Neodymium Disc Magnet - 1 1/4" Dia x 3/8" Thi</t>
  </si>
  <si>
    <t>N42 permanent magnet</t>
  </si>
  <si>
    <t>Ultrasonic sensor</t>
  </si>
  <si>
    <t>2s 7.4V LiPo battery</t>
  </si>
  <si>
    <t>CR-1025-ND</t>
  </si>
  <si>
    <t>CR-1025 3V Li+ coin cell</t>
  </si>
  <si>
    <t>BK-870</t>
  </si>
  <si>
    <t>Main board</t>
  </si>
  <si>
    <t>Micro SD card</t>
  </si>
  <si>
    <t xml:space="preserve"> Schedule 40 Clear Pipe, Non-threaded</t>
  </si>
  <si>
    <t>Female HC-SR04 connector</t>
  </si>
  <si>
    <t>Total Cost</t>
  </si>
  <si>
    <t>Component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</si>
  <si>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</si>
  <si>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</si>
  <si>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</si>
  <si>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</si>
  <si>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</si>
  <si>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</si>
  <si>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</si>
  <si>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</si>
  <si>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</si>
  <si>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</si>
  <si>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</si>
  <si>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</si>
  <si>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</si>
  <si>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</si>
  <si>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</si>
  <si>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</si>
  <si>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</si>
  <si>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</si>
  <si>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https://www.digikey.com/en/products/detail/kyocera-avx/TAJA226K006RNJ/1126793</t>
  </si>
  <si>
    <t>https://www.digikey.com/en/products/detail/panasonic-electronic-components/ECE-A1EKS100B/2689095</t>
  </si>
  <si>
    <t>https://www.digikey.com/en/products/detail/attend-technology/112J-TDAR-R01/17634680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</si>
  <si>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</si>
  <si>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</si>
  <si>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</si>
  <si>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</si>
  <si>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</si>
  <si>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</si>
  <si>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</si>
  <si>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</si>
  <si>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</si>
  <si>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Vendor 1</t>
  </si>
  <si>
    <t>RES SMD (1k) OHM 1% 1/4W 1206</t>
  </si>
  <si>
    <t>RES SMD (2K) OHM 1% 1/4W 1206</t>
  </si>
  <si>
    <t>https://www.digikey.com/en/products/detail/bourns-inc/CR1206-FX-1001ELF/2562677</t>
  </si>
  <si>
    <t>https://www.digikey.com/en/products/detail/bourns-inc/CR1206-FX-2001ELF/2562846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</si>
  <si>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</si>
  <si>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</si>
  <si>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</si>
  <si>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</si>
  <si>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</si>
  <si>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</si>
  <si>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</si>
  <si>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</si>
  <si>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</si>
  <si>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</si>
  <si>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</si>
  <si>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</si>
  <si>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</si>
  <si>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</si>
  <si>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</si>
  <si>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</si>
  <si>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</si>
  <si>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</si>
  <si>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</si>
  <si>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</si>
  <si>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</si>
  <si>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</si>
  <si>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</si>
  <si>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</si>
  <si>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</si>
  <si>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</si>
  <si>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</si>
  <si>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</si>
  <si>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</si>
  <si>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</si>
  <si>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Vendor 4</t>
  </si>
  <si>
    <t>Vendor 5</t>
  </si>
  <si>
    <t>Vendor 6</t>
  </si>
  <si>
    <t>O-Rings</t>
  </si>
  <si>
    <t>https://www.grainger.com/product/Machine-Screws-M2x0-40-Thread-6GY22?</t>
  </si>
  <si>
    <t>2S Lipo Battery 1500mAh 7.4V with Deans Plug, Dim: 69*35*18mm</t>
  </si>
  <si>
    <t>Chipolo tracker</t>
  </si>
  <si>
    <t>Chipolo POP</t>
  </si>
  <si>
    <t>https://chipolo.net/en-us/products/chipolo-pop?variant=4000996</t>
  </si>
  <si>
    <t>Diode 20 V 1A Surface Mount 1206 (3216 Metric)</t>
  </si>
  <si>
    <t>22 µF Molded Tantalum Capacitors 6.3 V 1206 (3216 Metric) 3Ohm</t>
  </si>
  <si>
    <t>10 µF 25 V Aluminum Electrolytic Capacitors Radial, Can 1000 Hrs @ 85°C</t>
  </si>
  <si>
    <t>Linear Voltage Regulator IC Positive Fixed 1 Output 500mA SOT-223-3</t>
  </si>
  <si>
    <t>C5</t>
  </si>
  <si>
    <t>L314ED, 3mm Red LED</t>
  </si>
  <si>
    <t>R6, R8, R10</t>
  </si>
  <si>
    <t>R1, R7, R9, R11</t>
  </si>
  <si>
    <t>D1 (schottky)</t>
  </si>
  <si>
    <t>C3 (polarized)</t>
  </si>
  <si>
    <t>U5</t>
  </si>
  <si>
    <t>112J-TDAR-R01, 9 (8 + 1) Position Card Connector Secure Digital - microSD™ Surface Mount, Right Angle Gold</t>
  </si>
  <si>
    <t xml:space="preserve"> DS3231M+ real-time clock IC</t>
  </si>
  <si>
    <t xml:space="preserve">U4 (BME280) </t>
  </si>
  <si>
    <t xml:space="preserve"> BME280 environmental sensor</t>
  </si>
  <si>
    <t>BT1  (coin cell holder)</t>
  </si>
  <si>
    <t>SW1 (Slide switch)</t>
  </si>
  <si>
    <t>450301014042, Slide Switch SPDT Through Hole</t>
  </si>
  <si>
    <t>U1 (BMS)</t>
  </si>
  <si>
    <t>B3B-XH-A, 2.54mm JST 3 pin</t>
  </si>
  <si>
    <t>SSA-104-W-T,  4 pin connector</t>
  </si>
  <si>
    <t>D2 (LED)</t>
  </si>
  <si>
    <t>O-Ring: Buna-N, Round, 2 mm C.S., 35 mm I.D.</t>
  </si>
  <si>
    <t>https://www.grainger.com/product/O-Ring-Buna-N-41KW27</t>
  </si>
  <si>
    <t>U2 (DS3231)</t>
  </si>
  <si>
    <t>P1 (Micro SD card slot)</t>
  </si>
  <si>
    <t>https://www.grainger.com/product/Hex-Nut-M2-0-40-Thread-6CA66</t>
  </si>
  <si>
    <t>Unit</t>
  </si>
  <si>
    <t>Pc</t>
  </si>
  <si>
    <t>M2 hex nut</t>
  </si>
  <si>
    <t>M2 screw</t>
  </si>
  <si>
    <t>M3 Hex nut</t>
  </si>
  <si>
    <t>M3 screw</t>
  </si>
  <si>
    <t>J2 (solar)</t>
  </si>
  <si>
    <t>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</t>
  </si>
  <si>
    <t>B2B-XH-A, 2.54mm JST 2 pin</t>
  </si>
  <si>
    <t>J1 (Lipo)</t>
  </si>
  <si>
    <t>Mini Pushbutton Power Switch with Reverse Voltage Protection, LV</t>
  </si>
  <si>
    <t>https://www.digikey.com/en/products/detail/pololu/2808/10450608</t>
  </si>
  <si>
    <t>https://www.pololu.com/product/2808</t>
  </si>
  <si>
    <t>R2, R4</t>
  </si>
  <si>
    <t>RES SMD (100k) OHM 1% 1/4W 1206</t>
  </si>
  <si>
    <t>https://www.digikey.com/en/products/detail/yageo/RC1206FR-07100KL/728492</t>
  </si>
  <si>
    <t>R3,  R5, R12</t>
  </si>
  <si>
    <t>RES SMD (10k) OHM 1% 1/4W 1206</t>
  </si>
  <si>
    <t>https://www.digikey.com/en/products/detail/yageo/RC1206FR-0710KL/728483</t>
  </si>
  <si>
    <t>C1, C2,  C4, C6</t>
  </si>
  <si>
    <t>Q1</t>
  </si>
  <si>
    <t>pc</t>
  </si>
  <si>
    <t>https://www.digikey.com/en/products/detail/diotec-semiconductor/MMBT2222A/13163394</t>
  </si>
  <si>
    <t>MMBT2222A NPN transistor</t>
  </si>
  <si>
    <t xml:space="preserve">U3 </t>
  </si>
  <si>
    <t>PCB stage height v0.5.2</t>
  </si>
  <si>
    <t>https://protosupplies.com/product/bme280-i2c-pressure-humidity-temperature-sensor-module/</t>
  </si>
  <si>
    <t>Part Designator</t>
  </si>
  <si>
    <t>manufacturer part number</t>
  </si>
  <si>
    <t>https://www.aliexpress.us/item/3256807913818826.html?src=google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3256807913818826&amp;ds_e_product_merchant_id=5343266820&amp;ds_e_product_country=US&amp;ds_e_product_language=en&amp;ds_e_product_channel=online&amp;ds_e_product_store_id=&amp;ds_url_v=2&amp;albcp=19558607238&amp;albag=&amp;isSmbAutoCall=false&amp;needSmbHouyi=false&amp;gad_source=1&amp;gad_campaignid=19566915268&amp;gbraid=0AAAAAD6I-hE1DxC2gZnFOXHh1kEusbMcy&amp;gclid=CjwKCAjwsfzSBhB5EiwAOGyqSRU193oQHDmqvw43tZsck5IFRgE9x0LpmqXCbfoW00kjTDmN2fMHGhoCCf0QAvD_BwE&amp;gatewayAdapt=glo2usa</t>
  </si>
  <si>
    <t>16 GB Micro SD Card</t>
  </si>
  <si>
    <t>https://www.staplesadvantage.com/centon-16gb-microsd-memory-card-with-adapter-class-10-s1msdhu116g/product_1587077_1587077-4400034214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</si>
</sst>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microchip-technology/mic5239-5-0ys-tr/2346595" TargetMode="External"/><Relationship Id="rId18" Type="http://schemas.openxmlformats.org/officeDocument/2006/relationships/hyperlink" Target="https://www.digikey.com/en/products/detail/panasonic-electronic-components/ECE-A1EKS100B/2689095" TargetMode="External"/><Relationship Id="rId26" Type="http://schemas.openxmlformats.org/officeDocument/2006/relationships/hyperlink" Target="https://www.mouser.com/ProductDetail/Analog-Devices-Maxim-Integrated/DS3231M%2b?qs=Bakm8ERcljpd4MQpcnSykw%3D%3D" TargetMode="External"/><Relationship Id="rId39" Type="http://schemas.openxmlformats.org/officeDocument/2006/relationships/hyperlink" Target="https://www.pololu.com/product/2808" TargetMode="External"/><Relationship Id="rId21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34" Type="http://schemas.openxmlformats.org/officeDocument/2006/relationships/hyperlink" Target="https://chipolo.net/en-us/products/chipolo-pop?variant=4000996" TargetMode="External"/><Relationship Id="rId42" Type="http://schemas.openxmlformats.org/officeDocument/2006/relationships/hyperlink" Target="https://www.digikey.com/en/products/detail/yageo/RC1206FR-0710KL/728483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w%C3%BCrth-elektronik/450301014042/5209104" TargetMode="External"/><Relationship Id="rId29" Type="http://schemas.openxmlformats.org/officeDocument/2006/relationships/hyperlink" Target="https://www.mouser.com/ProductDetail/KOA-Speer/RK73H2BLTD2001F?qs=iGskpj9dRIVPlylmUlAzCg%3D%3D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sparkfun.com/ultrasonic-distance-sensor-hc-sr04.html" TargetMode="External"/><Relationship Id="rId11" Type="http://schemas.openxmlformats.org/officeDocument/2006/relationships/hyperlink" Target="https://www.digikey.com/en/products/detail/bourns-inc/CR1206-FX-1001ELF/2562677" TargetMode="External"/><Relationship Id="rId24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2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37" Type="http://schemas.openxmlformats.org/officeDocument/2006/relationships/hyperlink" Target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TargetMode="External"/><Relationship Id="rId40" Type="http://schemas.openxmlformats.org/officeDocument/2006/relationships/hyperlink" Target="https://www.digikey.com/en/products/detail/yageo/RC1206FR-07100KL/728492" TargetMode="External"/><Relationship Id="rId45" Type="http://schemas.openxmlformats.org/officeDocument/2006/relationships/hyperlink" Target="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" TargetMode="External"/><Relationship Id="rId5" Type="http://schemas.openxmlformats.org/officeDocument/2006/relationships/hyperlink" Target="https://www.kjmagnetics.com/dx46-neodymium-disc-magnet?srsltid=AfmBOor6xdKd7bOjkwacOuF57KK6eEEADTRnz0KJa9k1RQvZ_CWL3iT5" TargetMode="External"/><Relationship Id="rId15" Type="http://schemas.openxmlformats.org/officeDocument/2006/relationships/hyperlink" Target="https://oshpark.com/" TargetMode="External"/><Relationship Id="rId23" Type="http://schemas.openxmlformats.org/officeDocument/2006/relationships/hyperlink" Target="https://www.digikey.com/en/products/detail/bourns-inc/CR1206-FX-2001ELF/2562846" TargetMode="External"/><Relationship Id="rId28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36" Type="http://schemas.openxmlformats.org/officeDocument/2006/relationships/hyperlink" Target="https://www.grainger.com/product/Hex-Nut-M2-0-40-Thread-6CA66" TargetMode="External"/><Relationship Id="rId10" Type="http://schemas.openxmlformats.org/officeDocument/2006/relationships/hyperlink" Target="https://www.digikey.com/en/products/detail/american-opto-plus-led/L314ED/13677700?s=N4IgTCBcDaIDIGYCMAWAogERAXQL5A" TargetMode="External"/><Relationship Id="rId19" Type="http://schemas.openxmlformats.org/officeDocument/2006/relationships/hyperlink" Target="https://www.digikey.com/en/products/detail/attend-technology/112J-TDAR-R01/17634680" TargetMode="External"/><Relationship Id="rId31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4" Type="http://schemas.openxmlformats.org/officeDocument/2006/relationships/hyperlink" Target="https://protosupplies.com/product/bme280-i2c-pressure-humidity-temperature-sensor-module/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mpd-memory-protection-devices/bk-870/3829737" TargetMode="External"/><Relationship Id="rId14" Type="http://schemas.openxmlformats.org/officeDocument/2006/relationships/hyperlink" Target="https://www.digikey.com/en/products/detail/samtec-inc/ssa-104-w-t/1105908" TargetMode="External"/><Relationship Id="rId22" Type="http://schemas.openxmlformats.org/officeDocument/2006/relationships/hyperlink" Target="https://www.digikey.com/en/products/detail/kyocera-avx/SD1206T020S1R0/3749511" TargetMode="External"/><Relationship Id="rId27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0" Type="http://schemas.openxmlformats.org/officeDocument/2006/relationships/hyperlink" Target="https://www.microchipdirect.com/product/MIC5239-5.0YS-TR?srsltid=AfmBOoooHyZrKcH0cUS_RsI3J47TFsMUEwNF8PMOiReEIOzKoqm2jaoz" TargetMode="External"/><Relationship Id="rId35" Type="http://schemas.openxmlformats.org/officeDocument/2006/relationships/hyperlink" Target="https://www.grainger.com/product/O-Ring-Buna-N-41KW27" TargetMode="External"/><Relationship Id="rId43" Type="http://schemas.openxmlformats.org/officeDocument/2006/relationships/hyperlink" Target="https://www.digikey.com/en/products/detail/ai-thinker/NF-01-S/16688873?gclsrc=aw.ds&amp;gad_source=1&amp;gad_campaignid=20228387720&amp;gbraid=0AAAAADrbLlhsJzz1oN02_raHPEOj6KUUd&amp;gclid=EAIaIQobChMI3MDDyaTsjQMVB0f_AR2LmQ9qEAQYASABEgLeCvD_BwE" TargetMode="External"/><Relationship Id="rId8" Type="http://schemas.openxmlformats.org/officeDocument/2006/relationships/hyperlink" Target="https://www.digikey.com/en/products/detail/jauch-quartz/CR1025/16399048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kemet/c1206s104k5racauto/10232834" TargetMode="External"/><Relationship Id="rId17" Type="http://schemas.openxmlformats.org/officeDocument/2006/relationships/hyperlink" Target="https://www.digikey.com/en/products/detail/kyocera-avx/TAJA226K006RNJ/1126793" TargetMode="External"/><Relationship Id="rId25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3" Type="http://schemas.openxmlformats.org/officeDocument/2006/relationships/hyperlink" Target="https://www.grainger.com/product/Machine-Screws-M2x0-40-Thread-6GY22?" TargetMode="External"/><Relationship Id="rId38" Type="http://schemas.openxmlformats.org/officeDocument/2006/relationships/hyperlink" Target="https://www.digikey.com/en/products/detail/pololu/2808/10450608" TargetMode="External"/><Relationship Id="rId46" Type="http://schemas.openxmlformats.org/officeDocument/2006/relationships/hyperlink" Target="https://www.staplesadvantage.com/centon-16gb-microsd-memory-card-with-adapter-class-10-s1msdhu116g/product_1587077_1587077-4400034214" TargetMode="External"/><Relationship Id="rId20" Type="http://schemas.openxmlformats.org/officeDocument/2006/relationships/hyperlink" Target="https://www.digikey.com/en/products/detail/anysolar-ltd/SM141K06TF/14311398" TargetMode="External"/><Relationship Id="rId41" Type="http://schemas.openxmlformats.org/officeDocument/2006/relationships/hyperlink" Target="https://www.digikey.com/en/products/detail/diotec-semiconductor/MMBT2222A/13163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9"/>
  <sheetViews>
    <sheetView tabSelected="1" topLeftCell="G1" zoomScale="115" zoomScaleNormal="115" workbookViewId="0">
      <selection activeCell="I15" sqref="I15"/>
    </sheetView>
  </sheetViews>
  <sheetFormatPr defaultColWidth="8.85546875" defaultRowHeight="15" x14ac:dyDescent="0.25"/>
  <cols>
    <col min="1" max="1" width="25.42578125" bestFit="1" customWidth="1"/>
    <col min="2" max="2" width="35.42578125" customWidth="1"/>
    <col min="3" max="3" width="89.85546875" customWidth="1"/>
    <col min="4" max="4" width="7.140625" bestFit="1" customWidth="1"/>
    <col min="5" max="5" width="4.5703125" customWidth="1"/>
    <col min="6" max="6" width="13.140625" customWidth="1"/>
    <col min="7" max="7" width="9.140625" customWidth="1"/>
    <col min="8" max="8" width="69.42578125" customWidth="1"/>
    <col min="9" max="9" width="76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s="6" customFormat="1" ht="15" customHeight="1" x14ac:dyDescent="0.25">
      <c r="A1" s="5" t="s">
        <v>144</v>
      </c>
      <c r="B1" s="5" t="s">
        <v>15</v>
      </c>
      <c r="C1" s="5" t="s">
        <v>145</v>
      </c>
      <c r="D1" s="5" t="s">
        <v>16</v>
      </c>
      <c r="E1" s="5" t="s">
        <v>117</v>
      </c>
      <c r="F1" s="5" t="s">
        <v>17</v>
      </c>
      <c r="G1" s="5" t="s">
        <v>14</v>
      </c>
      <c r="H1" s="5" t="s">
        <v>46</v>
      </c>
      <c r="I1" s="5" t="s">
        <v>51</v>
      </c>
      <c r="J1" s="5" t="s">
        <v>52</v>
      </c>
      <c r="K1" s="5" t="s">
        <v>81</v>
      </c>
      <c r="L1" s="5" t="s">
        <v>82</v>
      </c>
      <c r="M1" s="5" t="s">
        <v>83</v>
      </c>
    </row>
    <row r="2" spans="1:13" s="2" customFormat="1" ht="15" customHeight="1" x14ac:dyDescent="0.25">
      <c r="A2" s="2" t="s">
        <v>0</v>
      </c>
      <c r="B2" s="2" t="s">
        <v>0</v>
      </c>
      <c r="D2" s="2">
        <v>1</v>
      </c>
      <c r="E2" s="2" t="s">
        <v>118</v>
      </c>
      <c r="F2" s="3">
        <v>25.7</v>
      </c>
      <c r="G2" s="3">
        <f>D2*F2</f>
        <v>25.7</v>
      </c>
      <c r="H2" s="1" t="s">
        <v>18</v>
      </c>
      <c r="I2" s="1" t="s">
        <v>53</v>
      </c>
      <c r="J2" s="1" t="s">
        <v>54</v>
      </c>
    </row>
    <row r="3" spans="1:13" s="2" customFormat="1" ht="15" customHeight="1" x14ac:dyDescent="0.25">
      <c r="A3" s="2" t="s">
        <v>115</v>
      </c>
      <c r="B3" s="2" t="s">
        <v>101</v>
      </c>
      <c r="D3" s="2">
        <v>1</v>
      </c>
      <c r="E3" s="2" t="s">
        <v>118</v>
      </c>
      <c r="F3" s="3">
        <v>2.52</v>
      </c>
      <c r="G3" s="3">
        <f t="shared" ref="G3:G38" si="0">D3*F3</f>
        <v>2.52</v>
      </c>
      <c r="H3" s="1" t="s">
        <v>36</v>
      </c>
      <c r="I3" s="1" t="s">
        <v>55</v>
      </c>
    </row>
    <row r="4" spans="1:13" s="2" customFormat="1" ht="15" customHeight="1" x14ac:dyDescent="0.25">
      <c r="A4" s="2" t="s">
        <v>2</v>
      </c>
      <c r="B4" s="2" t="s">
        <v>1</v>
      </c>
      <c r="D4" s="2">
        <v>1</v>
      </c>
      <c r="E4" s="2" t="s">
        <v>118</v>
      </c>
      <c r="F4" s="3">
        <v>1.4</v>
      </c>
      <c r="G4" s="3">
        <f t="shared" si="0"/>
        <v>1.4</v>
      </c>
      <c r="H4" s="1" t="s">
        <v>19</v>
      </c>
      <c r="I4" s="1" t="s">
        <v>56</v>
      </c>
      <c r="J4" s="2" t="s">
        <v>57</v>
      </c>
    </row>
    <row r="5" spans="1:13" s="2" customFormat="1" ht="15" customHeight="1" x14ac:dyDescent="0.25">
      <c r="A5" s="2" t="s">
        <v>114</v>
      </c>
      <c r="B5" s="2" t="s">
        <v>102</v>
      </c>
      <c r="D5" s="2">
        <v>1</v>
      </c>
      <c r="E5" s="2" t="s">
        <v>118</v>
      </c>
      <c r="F5" s="3">
        <v>11.96</v>
      </c>
      <c r="G5" s="3">
        <f t="shared" si="0"/>
        <v>11.96</v>
      </c>
      <c r="H5" s="1" t="s">
        <v>20</v>
      </c>
      <c r="I5" s="1" t="s">
        <v>58</v>
      </c>
    </row>
    <row r="6" spans="1:13" s="2" customFormat="1" ht="15" customHeight="1" x14ac:dyDescent="0.25">
      <c r="A6" s="2" t="s">
        <v>103</v>
      </c>
      <c r="B6" s="2" t="s">
        <v>104</v>
      </c>
      <c r="D6" s="2">
        <v>1</v>
      </c>
      <c r="E6" s="2" t="s">
        <v>118</v>
      </c>
      <c r="F6" s="3">
        <v>5.26</v>
      </c>
      <c r="G6" s="3">
        <f t="shared" si="0"/>
        <v>5.26</v>
      </c>
      <c r="H6" s="2" t="s">
        <v>146</v>
      </c>
      <c r="I6" s="1" t="s">
        <v>21</v>
      </c>
      <c r="J6" s="1" t="s">
        <v>59</v>
      </c>
      <c r="K6" s="1" t="s">
        <v>60</v>
      </c>
      <c r="L6" s="1" t="s">
        <v>143</v>
      </c>
    </row>
    <row r="7" spans="1:13" s="2" customFormat="1" ht="15" customHeight="1" x14ac:dyDescent="0.25">
      <c r="A7" s="2" t="s">
        <v>141</v>
      </c>
      <c r="B7" s="2" t="s">
        <v>127</v>
      </c>
      <c r="D7" s="2">
        <v>1</v>
      </c>
      <c r="E7" s="2" t="s">
        <v>118</v>
      </c>
      <c r="F7" s="3">
        <v>4.95</v>
      </c>
      <c r="G7" s="3">
        <f t="shared" si="0"/>
        <v>4.95</v>
      </c>
      <c r="H7" s="1" t="s">
        <v>128</v>
      </c>
      <c r="I7" s="1" t="s">
        <v>129</v>
      </c>
    </row>
    <row r="8" spans="1:13" s="2" customFormat="1" ht="15" customHeight="1" x14ac:dyDescent="0.25">
      <c r="A8" s="2" t="s">
        <v>4</v>
      </c>
      <c r="B8" s="2" t="s">
        <v>3</v>
      </c>
      <c r="D8" s="2">
        <v>1</v>
      </c>
      <c r="E8" s="2" t="s">
        <v>118</v>
      </c>
      <c r="F8" s="3">
        <v>15.2</v>
      </c>
      <c r="G8" s="3">
        <f t="shared" si="0"/>
        <v>15.2</v>
      </c>
      <c r="H8" s="1" t="s">
        <v>22</v>
      </c>
    </row>
    <row r="9" spans="1:13" s="2" customFormat="1" ht="15" customHeight="1" x14ac:dyDescent="0.25">
      <c r="A9" s="2" t="s">
        <v>5</v>
      </c>
      <c r="B9" s="2" t="s">
        <v>24</v>
      </c>
      <c r="D9" s="2">
        <v>1</v>
      </c>
      <c r="E9" s="2" t="s">
        <v>118</v>
      </c>
      <c r="F9" s="3">
        <v>5.25</v>
      </c>
      <c r="G9" s="3">
        <f t="shared" si="0"/>
        <v>5.25</v>
      </c>
      <c r="H9" s="1" t="s">
        <v>23</v>
      </c>
      <c r="I9" s="2" t="s">
        <v>61</v>
      </c>
      <c r="J9" s="2" t="s">
        <v>62</v>
      </c>
    </row>
    <row r="10" spans="1:13" s="2" customFormat="1" ht="15" customHeight="1" x14ac:dyDescent="0.25">
      <c r="A10" s="2" t="s">
        <v>6</v>
      </c>
      <c r="B10" s="2" t="s">
        <v>86</v>
      </c>
      <c r="D10" s="2">
        <v>1</v>
      </c>
      <c r="E10" s="2" t="s">
        <v>118</v>
      </c>
      <c r="F10" s="3">
        <v>18</v>
      </c>
      <c r="G10" s="3">
        <f t="shared" si="0"/>
        <v>18</v>
      </c>
      <c r="H10" s="1" t="s">
        <v>25</v>
      </c>
      <c r="I10" s="1" t="s">
        <v>63</v>
      </c>
      <c r="J10" s="2" t="s">
        <v>64</v>
      </c>
    </row>
    <row r="11" spans="1:13" s="2" customFormat="1" ht="15" customHeight="1" x14ac:dyDescent="0.25">
      <c r="A11" s="2" t="s">
        <v>8</v>
      </c>
      <c r="B11" s="2" t="s">
        <v>7</v>
      </c>
      <c r="D11" s="2">
        <v>1</v>
      </c>
      <c r="E11" s="2" t="s">
        <v>118</v>
      </c>
      <c r="F11" s="3">
        <v>1.0900000000000001</v>
      </c>
      <c r="G11" s="3">
        <f t="shared" si="0"/>
        <v>1.0900000000000001</v>
      </c>
      <c r="H11" s="1" t="s">
        <v>26</v>
      </c>
      <c r="I11" s="2" t="s">
        <v>65</v>
      </c>
    </row>
    <row r="12" spans="1:13" s="2" customFormat="1" ht="15" customHeight="1" x14ac:dyDescent="0.25">
      <c r="A12" s="2" t="s">
        <v>105</v>
      </c>
      <c r="B12" s="2" t="s">
        <v>9</v>
      </c>
      <c r="D12" s="2">
        <v>1</v>
      </c>
      <c r="E12" s="2" t="s">
        <v>118</v>
      </c>
      <c r="F12" s="3">
        <v>0.57999999999999996</v>
      </c>
      <c r="G12" s="3">
        <f t="shared" si="0"/>
        <v>0.57999999999999996</v>
      </c>
      <c r="H12" s="1" t="s">
        <v>27</v>
      </c>
      <c r="I12" s="2" t="s">
        <v>66</v>
      </c>
    </row>
    <row r="13" spans="1:13" s="2" customFormat="1" ht="15" customHeight="1" x14ac:dyDescent="0.25">
      <c r="A13" s="2" t="s">
        <v>137</v>
      </c>
      <c r="B13" s="2" t="s">
        <v>140</v>
      </c>
      <c r="D13" s="2">
        <v>1</v>
      </c>
      <c r="E13" s="2" t="s">
        <v>138</v>
      </c>
      <c r="F13" s="3">
        <v>0.14000000000000001</v>
      </c>
      <c r="G13" s="3">
        <f t="shared" si="0"/>
        <v>0.14000000000000001</v>
      </c>
      <c r="H13" s="1" t="s">
        <v>139</v>
      </c>
    </row>
    <row r="14" spans="1:13" s="2" customFormat="1" ht="15" customHeight="1" x14ac:dyDescent="0.25">
      <c r="A14" s="2" t="s">
        <v>142</v>
      </c>
      <c r="B14" s="2" t="s">
        <v>10</v>
      </c>
      <c r="D14" s="2">
        <v>1</v>
      </c>
      <c r="E14" s="2" t="s">
        <v>118</v>
      </c>
      <c r="F14" s="3">
        <v>8.23</v>
      </c>
      <c r="G14" s="3">
        <f t="shared" si="0"/>
        <v>8.23</v>
      </c>
      <c r="H14" s="1" t="s">
        <v>32</v>
      </c>
    </row>
    <row r="15" spans="1:13" s="2" customFormat="1" ht="15" customHeight="1" x14ac:dyDescent="0.25">
      <c r="A15" s="2" t="s">
        <v>11</v>
      </c>
      <c r="B15" s="2" t="s">
        <v>147</v>
      </c>
      <c r="D15" s="2">
        <v>1</v>
      </c>
      <c r="E15" s="2" t="s">
        <v>118</v>
      </c>
      <c r="F15" s="3">
        <v>6.47</v>
      </c>
      <c r="G15" s="3">
        <f t="shared" si="0"/>
        <v>6.47</v>
      </c>
      <c r="H15" s="1" t="s">
        <v>148</v>
      </c>
      <c r="I15" s="1"/>
      <c r="J15" s="1"/>
      <c r="K15" s="1"/>
    </row>
    <row r="16" spans="1:13" s="2" customFormat="1" ht="15" customHeight="1" x14ac:dyDescent="0.25">
      <c r="A16" s="2" t="s">
        <v>106</v>
      </c>
      <c r="B16" s="2" t="s">
        <v>107</v>
      </c>
      <c r="D16" s="2">
        <v>1</v>
      </c>
      <c r="E16" s="2" t="s">
        <v>118</v>
      </c>
      <c r="F16" s="3">
        <v>2.0299999999999998</v>
      </c>
      <c r="G16" s="3">
        <f t="shared" si="0"/>
        <v>2.0299999999999998</v>
      </c>
      <c r="H16" s="1" t="s">
        <v>45</v>
      </c>
      <c r="I16" s="2" t="s">
        <v>67</v>
      </c>
    </row>
    <row r="17" spans="1:10" s="2" customFormat="1" ht="15" customHeight="1" x14ac:dyDescent="0.25">
      <c r="A17" s="2" t="s">
        <v>111</v>
      </c>
      <c r="B17" s="2" t="s">
        <v>95</v>
      </c>
      <c r="D17" s="2">
        <v>1</v>
      </c>
      <c r="E17" s="2" t="s">
        <v>118</v>
      </c>
      <c r="F17" s="3">
        <v>0.2</v>
      </c>
      <c r="G17" s="3">
        <f t="shared" si="0"/>
        <v>0.2</v>
      </c>
      <c r="H17" s="1" t="s">
        <v>28</v>
      </c>
      <c r="I17" s="2" t="s">
        <v>68</v>
      </c>
    </row>
    <row r="18" spans="1:10" s="2" customFormat="1" ht="15" customHeight="1" x14ac:dyDescent="0.25">
      <c r="A18" s="2" t="s">
        <v>133</v>
      </c>
      <c r="B18" s="2" t="s">
        <v>134</v>
      </c>
      <c r="D18" s="2">
        <v>3</v>
      </c>
      <c r="E18" s="2" t="s">
        <v>118</v>
      </c>
      <c r="F18" s="3">
        <v>0.1</v>
      </c>
      <c r="G18" s="3">
        <f t="shared" si="0"/>
        <v>0.30000000000000004</v>
      </c>
      <c r="H18" s="1" t="s">
        <v>135</v>
      </c>
    </row>
    <row r="19" spans="1:10" s="2" customFormat="1" ht="15" customHeight="1" x14ac:dyDescent="0.25">
      <c r="A19" s="2" t="s">
        <v>96</v>
      </c>
      <c r="B19" s="2" t="s">
        <v>48</v>
      </c>
      <c r="D19" s="2">
        <v>3</v>
      </c>
      <c r="E19" s="2" t="s">
        <v>118</v>
      </c>
      <c r="F19" s="3">
        <v>0.1</v>
      </c>
      <c r="G19" s="3">
        <f t="shared" si="0"/>
        <v>0.30000000000000004</v>
      </c>
      <c r="H19" s="1" t="s">
        <v>50</v>
      </c>
      <c r="I19" s="1" t="s">
        <v>69</v>
      </c>
    </row>
    <row r="20" spans="1:10" s="2" customFormat="1" ht="15" customHeight="1" x14ac:dyDescent="0.25">
      <c r="A20" s="2" t="s">
        <v>97</v>
      </c>
      <c r="B20" s="2" t="s">
        <v>47</v>
      </c>
      <c r="D20" s="2">
        <v>4</v>
      </c>
      <c r="E20" s="2" t="s">
        <v>118</v>
      </c>
      <c r="F20" s="3">
        <v>0.1</v>
      </c>
      <c r="G20" s="3">
        <f t="shared" si="0"/>
        <v>0.4</v>
      </c>
      <c r="H20" s="1" t="s">
        <v>49</v>
      </c>
      <c r="I20" s="2" t="s">
        <v>70</v>
      </c>
    </row>
    <row r="21" spans="1:10" s="2" customFormat="1" ht="15" customHeight="1" x14ac:dyDescent="0.25">
      <c r="A21" s="2" t="s">
        <v>130</v>
      </c>
      <c r="B21" s="2" t="s">
        <v>131</v>
      </c>
      <c r="D21" s="2">
        <v>2</v>
      </c>
      <c r="E21" s="2" t="s">
        <v>118</v>
      </c>
      <c r="F21" s="3">
        <v>0.1</v>
      </c>
      <c r="G21" s="3">
        <f t="shared" si="0"/>
        <v>0.2</v>
      </c>
      <c r="H21" s="1" t="s">
        <v>132</v>
      </c>
    </row>
    <row r="22" spans="1:10" s="2" customFormat="1" ht="15" customHeight="1" x14ac:dyDescent="0.25">
      <c r="A22" s="2" t="s">
        <v>98</v>
      </c>
      <c r="B22" s="2" t="s">
        <v>90</v>
      </c>
      <c r="D22" s="2">
        <v>1</v>
      </c>
      <c r="E22" s="2" t="s">
        <v>118</v>
      </c>
      <c r="F22" s="3">
        <v>0.39</v>
      </c>
      <c r="G22" s="3">
        <f t="shared" si="0"/>
        <v>0.39</v>
      </c>
      <c r="H22" s="1" t="s">
        <v>43</v>
      </c>
      <c r="I22" s="2" t="s">
        <v>71</v>
      </c>
    </row>
    <row r="23" spans="1:10" s="2" customFormat="1" ht="15" customHeight="1" x14ac:dyDescent="0.25">
      <c r="A23" s="2" t="s">
        <v>99</v>
      </c>
      <c r="B23" s="2" t="s">
        <v>91</v>
      </c>
      <c r="D23" s="2">
        <v>1</v>
      </c>
      <c r="E23" s="2" t="s">
        <v>118</v>
      </c>
      <c r="F23" s="3">
        <v>0.41</v>
      </c>
      <c r="G23" s="3">
        <f t="shared" si="0"/>
        <v>0.41</v>
      </c>
      <c r="H23" s="1" t="s">
        <v>34</v>
      </c>
      <c r="I23" s="2" t="s">
        <v>72</v>
      </c>
    </row>
    <row r="24" spans="1:10" s="2" customFormat="1" ht="15" customHeight="1" x14ac:dyDescent="0.25">
      <c r="A24" s="2" t="s">
        <v>94</v>
      </c>
      <c r="B24" s="2" t="s">
        <v>92</v>
      </c>
      <c r="D24" s="2">
        <v>1</v>
      </c>
      <c r="E24" s="2" t="s">
        <v>118</v>
      </c>
      <c r="F24" s="3">
        <v>0.26</v>
      </c>
      <c r="G24" s="3">
        <f t="shared" si="0"/>
        <v>0.26</v>
      </c>
      <c r="H24" s="1" t="s">
        <v>35</v>
      </c>
      <c r="I24" s="2" t="s">
        <v>73</v>
      </c>
    </row>
    <row r="25" spans="1:10" s="2" customFormat="1" ht="15" customHeight="1" x14ac:dyDescent="0.25">
      <c r="A25" s="2" t="s">
        <v>136</v>
      </c>
      <c r="B25" s="2" t="s">
        <v>33</v>
      </c>
      <c r="D25" s="2">
        <v>4</v>
      </c>
      <c r="E25" s="2" t="s">
        <v>118</v>
      </c>
      <c r="F25" s="3">
        <v>0.48</v>
      </c>
      <c r="G25" s="3">
        <f t="shared" si="0"/>
        <v>1.92</v>
      </c>
      <c r="H25" s="1" t="s">
        <v>29</v>
      </c>
      <c r="I25" s="2" t="s">
        <v>74</v>
      </c>
    </row>
    <row r="26" spans="1:10" s="2" customFormat="1" ht="15" customHeight="1" x14ac:dyDescent="0.25">
      <c r="A26" s="2" t="s">
        <v>100</v>
      </c>
      <c r="B26" s="2" t="s">
        <v>93</v>
      </c>
      <c r="D26" s="2">
        <v>1</v>
      </c>
      <c r="E26" s="2" t="s">
        <v>118</v>
      </c>
      <c r="F26" s="3">
        <v>3.58</v>
      </c>
      <c r="G26" s="3">
        <f t="shared" si="0"/>
        <v>3.58</v>
      </c>
      <c r="H26" s="1" t="s">
        <v>30</v>
      </c>
      <c r="I26" s="1" t="s">
        <v>75</v>
      </c>
      <c r="J26" s="2" t="s">
        <v>76</v>
      </c>
    </row>
    <row r="27" spans="1:10" s="2" customFormat="1" ht="15" customHeight="1" x14ac:dyDescent="0.25">
      <c r="A27" s="2" t="s">
        <v>44</v>
      </c>
      <c r="B27" s="2" t="s">
        <v>12</v>
      </c>
      <c r="D27" s="2">
        <v>1</v>
      </c>
      <c r="E27" s="2" t="s">
        <v>118</v>
      </c>
      <c r="F27" s="3">
        <v>60.76</v>
      </c>
      <c r="G27" s="3">
        <f t="shared" si="0"/>
        <v>60.76</v>
      </c>
      <c r="H27" s="1" t="s">
        <v>77</v>
      </c>
    </row>
    <row r="28" spans="1:10" s="2" customFormat="1" ht="15" customHeight="1" x14ac:dyDescent="0.25">
      <c r="A28" s="2" t="s">
        <v>13</v>
      </c>
      <c r="B28" s="2" t="s">
        <v>110</v>
      </c>
      <c r="D28" s="2">
        <v>1</v>
      </c>
      <c r="E28" s="2" t="s">
        <v>118</v>
      </c>
      <c r="F28" s="3">
        <v>0.91</v>
      </c>
      <c r="G28" s="3">
        <f t="shared" si="0"/>
        <v>0.91</v>
      </c>
      <c r="H28" s="1" t="s">
        <v>31</v>
      </c>
      <c r="I28" s="2" t="s">
        <v>78</v>
      </c>
    </row>
    <row r="29" spans="1:10" s="2" customFormat="1" ht="15" customHeight="1" x14ac:dyDescent="0.25">
      <c r="A29" s="2" t="s">
        <v>108</v>
      </c>
      <c r="B29" s="2" t="s">
        <v>38</v>
      </c>
      <c r="D29" s="2">
        <v>1</v>
      </c>
      <c r="E29" s="2" t="s">
        <v>118</v>
      </c>
      <c r="F29" s="3">
        <v>2.15</v>
      </c>
      <c r="G29" s="3">
        <f t="shared" si="0"/>
        <v>2.15</v>
      </c>
      <c r="H29" s="1" t="s">
        <v>37</v>
      </c>
      <c r="I29" s="2" t="s">
        <v>79</v>
      </c>
    </row>
    <row r="30" spans="1:10" s="2" customFormat="1" ht="15" customHeight="1" x14ac:dyDescent="0.25">
      <c r="A30" s="2" t="s">
        <v>123</v>
      </c>
      <c r="B30" s="2" t="s">
        <v>125</v>
      </c>
      <c r="D30" s="2">
        <v>1</v>
      </c>
      <c r="E30" s="2" t="s">
        <v>118</v>
      </c>
      <c r="F30" s="3">
        <v>0.1</v>
      </c>
      <c r="G30" s="3">
        <f t="shared" si="0"/>
        <v>0.1</v>
      </c>
      <c r="H30" s="1" t="s">
        <v>124</v>
      </c>
    </row>
    <row r="31" spans="1:10" s="2" customFormat="1" ht="15" customHeight="1" x14ac:dyDescent="0.25">
      <c r="A31" s="2" t="s">
        <v>126</v>
      </c>
      <c r="B31" s="2" t="s">
        <v>109</v>
      </c>
      <c r="D31" s="2">
        <v>1</v>
      </c>
      <c r="E31" s="2" t="s">
        <v>118</v>
      </c>
      <c r="F31" s="3">
        <v>0.13</v>
      </c>
      <c r="G31" s="3">
        <f t="shared" si="0"/>
        <v>0.13</v>
      </c>
      <c r="H31" s="1" t="s">
        <v>42</v>
      </c>
      <c r="I31" s="2" t="s">
        <v>80</v>
      </c>
    </row>
    <row r="32" spans="1:10" s="2" customFormat="1" ht="15" customHeight="1" x14ac:dyDescent="0.25">
      <c r="A32" s="2" t="s">
        <v>39</v>
      </c>
      <c r="B32" s="2" t="s">
        <v>41</v>
      </c>
      <c r="D32" s="2">
        <v>9</v>
      </c>
      <c r="E32" s="2" t="s">
        <v>118</v>
      </c>
      <c r="F32" s="3">
        <v>7.39</v>
      </c>
      <c r="G32" s="3">
        <f t="shared" si="0"/>
        <v>66.509999999999991</v>
      </c>
      <c r="H32" s="1" t="s">
        <v>40</v>
      </c>
    </row>
    <row r="33" spans="1:8" s="2" customFormat="1" ht="15" customHeight="1" x14ac:dyDescent="0.25">
      <c r="B33" s="2" t="s">
        <v>121</v>
      </c>
      <c r="D33" s="2">
        <v>2</v>
      </c>
      <c r="E33" s="2" t="s">
        <v>118</v>
      </c>
      <c r="F33" s="3">
        <v>0.01</v>
      </c>
      <c r="G33" s="3">
        <f t="shared" si="0"/>
        <v>0.02</v>
      </c>
      <c r="H33" s="1"/>
    </row>
    <row r="34" spans="1:8" s="2" customFormat="1" ht="15" customHeight="1" x14ac:dyDescent="0.25">
      <c r="B34" s="2" t="s">
        <v>122</v>
      </c>
      <c r="D34" s="2">
        <v>2</v>
      </c>
      <c r="E34" s="2" t="s">
        <v>118</v>
      </c>
      <c r="F34" s="3">
        <v>0.01</v>
      </c>
      <c r="G34" s="3">
        <f t="shared" si="0"/>
        <v>0.02</v>
      </c>
      <c r="H34" s="1"/>
    </row>
    <row r="35" spans="1:8" s="2" customFormat="1" ht="15" customHeight="1" x14ac:dyDescent="0.25">
      <c r="B35" s="2" t="s">
        <v>119</v>
      </c>
      <c r="D35" s="2">
        <v>2</v>
      </c>
      <c r="E35" s="2" t="s">
        <v>118</v>
      </c>
      <c r="F35" s="3">
        <v>0.01</v>
      </c>
      <c r="G35" s="3">
        <f t="shared" si="0"/>
        <v>0.02</v>
      </c>
      <c r="H35" s="1" t="s">
        <v>116</v>
      </c>
    </row>
    <row r="36" spans="1:8" s="2" customFormat="1" ht="15" customHeight="1" x14ac:dyDescent="0.25">
      <c r="B36" s="2" t="s">
        <v>120</v>
      </c>
      <c r="D36" s="2">
        <v>4</v>
      </c>
      <c r="E36" s="2" t="s">
        <v>118</v>
      </c>
      <c r="F36" s="3">
        <v>7.2999999999999995E-2</v>
      </c>
      <c r="G36" s="3">
        <f t="shared" si="0"/>
        <v>0.29199999999999998</v>
      </c>
      <c r="H36" s="1" t="s">
        <v>85</v>
      </c>
    </row>
    <row r="37" spans="1:8" s="2" customFormat="1" ht="15" customHeight="1" x14ac:dyDescent="0.25">
      <c r="A37" s="2" t="s">
        <v>84</v>
      </c>
      <c r="B37" s="2" t="s">
        <v>112</v>
      </c>
      <c r="D37" s="2">
        <v>1</v>
      </c>
      <c r="E37" s="2" t="s">
        <v>118</v>
      </c>
      <c r="F37" s="3">
        <v>2.68</v>
      </c>
      <c r="G37" s="3">
        <f>D37*F37</f>
        <v>2.68</v>
      </c>
      <c r="H37" s="1" t="s">
        <v>113</v>
      </c>
    </row>
    <row r="38" spans="1:8" s="2" customFormat="1" ht="15" customHeight="1" x14ac:dyDescent="0.25">
      <c r="A38" s="2" t="s">
        <v>87</v>
      </c>
      <c r="B38" s="2" t="s">
        <v>88</v>
      </c>
      <c r="D38" s="2">
        <v>1</v>
      </c>
      <c r="E38" s="2" t="s">
        <v>118</v>
      </c>
      <c r="F38" s="3">
        <v>25</v>
      </c>
      <c r="G38" s="3">
        <f t="shared" si="0"/>
        <v>25</v>
      </c>
      <c r="H38" s="1" t="s">
        <v>89</v>
      </c>
    </row>
    <row r="39" spans="1:8" x14ac:dyDescent="0.25">
      <c r="F39" s="4" t="s">
        <v>14</v>
      </c>
      <c r="G39" s="4">
        <f>SUM(G2:G38)</f>
        <v>275.33199999999999</v>
      </c>
    </row>
  </sheetData>
  <hyperlinks>
    <hyperlink ref="H2" r:id="rId1" xr:uid="{42481F3C-D77C-4D47-8482-158A61C0337E}"/>
    <hyperlink ref="H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H5" r:id="rId3" xr:uid="{E70F36E4-82C7-490A-965C-FBA0B568208C}"/>
    <hyperlink ref="I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H8" r:id="rId5" xr:uid="{23E423E1-1EBE-4115-AE06-49032C41D232}"/>
    <hyperlink ref="H9" r:id="rId6" display="https://www.sparkfun.com/ultrasonic-distance-sensor-hc-sr04.html" xr:uid="{F999829F-3DFC-4DBA-B819-1D673798FA55}"/>
    <hyperlink ref="H10" r:id="rId7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H11" r:id="rId8" display="https://www.digikey.com/en/products/detail/jauch-quartz/CR1025/16399048" xr:uid="{17A29435-522E-4BB5-8364-3BC77FBEB1C4}"/>
    <hyperlink ref="H12" r:id="rId9" display="https://www.digikey.com/en/products/detail/mpd-memory-protection-devices/bk-870/3829737" xr:uid="{27F9BEB5-8046-41B8-A401-6B801AA65292}"/>
    <hyperlink ref="H17" r:id="rId10" display="https://www.digikey.com/en/products/detail/american-opto-plus-led/L314ED/13677700?s=N4IgTCBcDaIDIGYCMAWAogERAXQL5A" xr:uid="{EB1FB783-CD78-4F2E-ADAE-2EFC2E0C050D}"/>
    <hyperlink ref="H20" r:id="rId11" xr:uid="{1CE23A94-3355-4CE3-BD99-944097BF2C76}"/>
    <hyperlink ref="H25" r:id="rId12" display="https://www.digikey.com/en/products/detail/kemet/c1206s104k5racauto/10232834" xr:uid="{CDDFAE49-11BE-4283-9E44-D17951ACE335}"/>
    <hyperlink ref="H26" r:id="rId13" display="https://www.digikey.com/en/products/detail/microchip-technology/mic5239-5-0ys-tr/2346595" xr:uid="{0FF0C8FA-B521-42B4-9637-4551CDF56AE0}"/>
    <hyperlink ref="H28" r:id="rId14" display="https://www.digikey.com/en/products/detail/samtec-inc/ssa-104-w-t/1105908" xr:uid="{5CEFEAD0-E765-4C5C-8B17-4D481AAEE74F}"/>
    <hyperlink ref="H14" r:id="rId15" xr:uid="{98CBDFFF-5BC0-4691-985C-193C55CD2A4F}"/>
    <hyperlink ref="H16" r:id="rId16" xr:uid="{F40F3420-CF30-4700-92F3-040B50F37E84}"/>
    <hyperlink ref="H23" r:id="rId17" xr:uid="{CF84383E-32DC-4F7A-8B1F-D5487EDC174E}"/>
    <hyperlink ref="H24" r:id="rId18" xr:uid="{9AFC6348-0E57-4A67-A197-41D4FD45794D}"/>
    <hyperlink ref="H3" r:id="rId19" xr:uid="{132AA37F-9E12-44EF-9546-36BDCE2F9F6B}"/>
    <hyperlink ref="H32" r:id="rId20" xr:uid="{BECD5DE6-8852-4EA8-869E-7E18A46D5C74}"/>
    <hyperlink ref="H31" r:id="rId21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H22" r:id="rId22" xr:uid="{4FB5C311-0780-4C35-9E62-7B63EE0B1C7F}"/>
    <hyperlink ref="H19" r:id="rId23" xr:uid="{11D1FB24-874A-4110-8E22-DCAAF354D69C}"/>
    <hyperlink ref="I2" r:id="rId24" xr:uid="{BB65F326-57F6-0948-9C05-235DDBF32C5D}"/>
    <hyperlink ref="J2" r:id="rId25" xr:uid="{85148DE2-C5FC-5645-B5BB-41BB837D9E5E}"/>
    <hyperlink ref="I5" r:id="rId26" xr:uid="{41DE90D8-7589-0C4B-AD96-FF698779CC02}"/>
    <hyperlink ref="K6" r:id="rId27" xr:uid="{50526146-D5B4-5C42-928A-1A4E698E0A66}"/>
    <hyperlink ref="I10" r:id="rId28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I19" r:id="rId29" xr:uid="{FAF305DA-B9D2-2244-A13B-6929AB49025C}"/>
    <hyperlink ref="I26" r:id="rId30" xr:uid="{B99689F2-D490-2042-A4CC-3BA7CD9172AF}"/>
    <hyperlink ref="H27" r:id="rId31" xr:uid="{1136733B-68A5-4A0B-995C-2A418A5AC777}"/>
    <hyperlink ref="I3" r:id="rId32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H36" r:id="rId33" xr:uid="{AFFADB06-346C-4E3A-B07A-37D406DF404C}"/>
    <hyperlink ref="H38" r:id="rId34" xr:uid="{EB0734B3-7C29-4D35-B394-905387802664}"/>
    <hyperlink ref="H37" r:id="rId35" xr:uid="{26A48533-A061-40FE-A66E-723F0A8526D8}"/>
    <hyperlink ref="H35" r:id="rId36" xr:uid="{327468E6-6FE8-4274-B476-C9C35280648B}"/>
    <hyperlink ref="H30" r:id="rId37" display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xr:uid="{A1578E18-966D-4A0B-89BB-AAA405790B24}"/>
    <hyperlink ref="H7" r:id="rId38" xr:uid="{809BB693-6445-43CC-B4C1-47C121254BDE}"/>
    <hyperlink ref="I7" r:id="rId39" xr:uid="{8E7D6AC4-E51D-48DC-AC39-840AA30DB295}"/>
    <hyperlink ref="H21" r:id="rId40" xr:uid="{F2FBC813-F21B-4CA5-94D5-A1D3C7097891}"/>
    <hyperlink ref="H13" r:id="rId41" xr:uid="{0C1E97B9-B29C-4292-84AE-9AEFCCB0C868}"/>
    <hyperlink ref="H18" r:id="rId42" xr:uid="{51407470-A2C9-4C4E-89CA-FC24B70AF5A7}"/>
    <hyperlink ref="I4" r:id="rId43" xr:uid="{1A2534D8-294F-4B39-89B1-8168C50C4225}"/>
    <hyperlink ref="L6" r:id="rId44" xr:uid="{3B26DD18-290E-4BFE-BB80-46E0A92D8884}"/>
    <hyperlink ref="J6" r:id="rId45" display="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" xr:uid="{8537022B-3B72-40E4-A752-C847F511BEE6}"/>
    <hyperlink ref="H15" r:id="rId46" xr:uid="{A6F3856D-694D-4B77-926C-45B40107F580}"/>
  </hyperlinks>
  <pageMargins left="0.7" right="0.7" top="0.75" bottom="0.75" header="0.3" footer="0.3"/>
  <pageSetup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2026-08-10T22:01:58Z</dcterms:modified>
</cp:coreProperties>
</file>